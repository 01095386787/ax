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신운정 폴더\"/>
    </mc:Choice>
  </mc:AlternateContent>
  <xr:revisionPtr revIDLastSave="0" documentId="13_ncr:1_{4E951014-F3D7-4A92-B2A7-436A02A39278}" xr6:coauthVersionLast="47" xr6:coauthVersionMax="47" xr10:uidLastSave="{00000000-0000-0000-0000-000000000000}"/>
  <bookViews>
    <workbookView xWindow="-120" yWindow="-120" windowWidth="29040" windowHeight="15840" activeTab="3" xr2:uid="{C1AD2193-3AA0-4055-A5D5-5D3009A34FB7}"/>
  </bookViews>
  <sheets>
    <sheet name="제1작업" sheetId="1" r:id="rId1"/>
    <sheet name="제2작업" sheetId="2" r:id="rId2"/>
    <sheet name="제3작업" sheetId="3" r:id="rId3"/>
    <sheet name="제4작업" sheetId="4" r:id="rId4"/>
  </sheets>
  <definedNames>
    <definedName name="_xlnm._FilterDatabase" localSheetId="1" hidden="1">제2작업!$B$2:$H$10</definedName>
    <definedName name="_xlnm.Criteria" localSheetId="1">제2작업!$B$14:$C$15</definedName>
    <definedName name="_xlnm.Extract" localSheetId="1">제2작업!$B$18:$E$18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3" i="1" l="1"/>
  <c r="I5" i="1" a="1"/>
  <c r="I5" i="1" s="1"/>
  <c r="H15" i="3"/>
  <c r="H10" i="3"/>
  <c r="H5" i="3"/>
  <c r="H17" i="3" s="1"/>
  <c r="C16" i="3"/>
  <c r="C11" i="3"/>
  <c r="C6" i="3"/>
  <c r="C18" i="3" s="1"/>
  <c r="H11" i="2"/>
  <c r="J14" i="1"/>
  <c r="E1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<sst xmlns="http://schemas.openxmlformats.org/spreadsheetml/2006/main" count="120" uniqueCount="43">
  <si>
    <t>제품코드</t>
    <phoneticPr fontId="2" type="noConversion"/>
  </si>
  <si>
    <t>제품명</t>
    <phoneticPr fontId="2" type="noConversion"/>
  </si>
  <si>
    <t>처리방식</t>
    <phoneticPr fontId="2" type="noConversion"/>
  </si>
  <si>
    <t>등록일</t>
    <phoneticPr fontId="2" type="noConversion"/>
  </si>
  <si>
    <t>소비전력
(W)</t>
    <phoneticPr fontId="2" type="noConversion"/>
  </si>
  <si>
    <t>무게(kg)</t>
    <phoneticPr fontId="2" type="noConversion"/>
  </si>
  <si>
    <t>온라인
최저가</t>
    <phoneticPr fontId="2" type="noConversion"/>
  </si>
  <si>
    <t>회원구매가</t>
    <phoneticPr fontId="2" type="noConversion"/>
  </si>
  <si>
    <t>대리점</t>
    <phoneticPr fontId="2" type="noConversion"/>
  </si>
  <si>
    <t>KC-182</t>
    <phoneticPr fontId="2" type="noConversion"/>
  </si>
  <si>
    <t>TS-301</t>
    <phoneticPr fontId="2" type="noConversion"/>
  </si>
  <si>
    <t>KJ-265</t>
    <phoneticPr fontId="2" type="noConversion"/>
  </si>
  <si>
    <t>EK-177</t>
    <phoneticPr fontId="2" type="noConversion"/>
  </si>
  <si>
    <t>TC-265</t>
    <phoneticPr fontId="2" type="noConversion"/>
  </si>
  <si>
    <t>ES-120</t>
    <phoneticPr fontId="2" type="noConversion"/>
  </si>
  <si>
    <t>.TS-320</t>
    <phoneticPr fontId="2" type="noConversion"/>
  </si>
  <si>
    <t>KC-103</t>
    <phoneticPr fontId="2" type="noConversion"/>
  </si>
  <si>
    <t>키친슬리핏</t>
  </si>
  <si>
    <t>키친슬리핏</t>
    <phoneticPr fontId="2" type="noConversion"/>
  </si>
  <si>
    <t>싱크에스엠</t>
    <phoneticPr fontId="2" type="noConversion"/>
  </si>
  <si>
    <t>스마트블레드</t>
    <phoneticPr fontId="2" type="noConversion"/>
  </si>
  <si>
    <t>이롭더그레블</t>
    <phoneticPr fontId="2" type="noConversion"/>
  </si>
  <si>
    <t>리쿡알이케이</t>
    <phoneticPr fontId="2" type="noConversion"/>
  </si>
  <si>
    <t>젠풀코리아</t>
    <phoneticPr fontId="2" type="noConversion"/>
  </si>
  <si>
    <t>쿠쿠씨에프디</t>
    <phoneticPr fontId="2" type="noConversion"/>
  </si>
  <si>
    <t>린클그래비티</t>
    <phoneticPr fontId="2" type="noConversion"/>
  </si>
  <si>
    <t>분쇄건조형</t>
    <phoneticPr fontId="2" type="noConversion"/>
  </si>
  <si>
    <t>싱크대내장형</t>
    <phoneticPr fontId="2" type="noConversion"/>
  </si>
  <si>
    <t>미생물분해형</t>
    <phoneticPr fontId="2" type="noConversion"/>
  </si>
  <si>
    <t>온라인 최저가 평균</t>
    <phoneticPr fontId="2" type="noConversion"/>
  </si>
  <si>
    <t>분쇄건조형 최대 소비전력(W)</t>
    <phoneticPr fontId="2" type="noConversion"/>
  </si>
  <si>
    <t>무게가 10kg 이하인 제품 개수</t>
    <phoneticPr fontId="2" type="noConversion"/>
  </si>
  <si>
    <t>분쇄건조형 제품 무게(kg) 평균</t>
    <phoneticPr fontId="2" type="noConversion"/>
  </si>
  <si>
    <t>&lt;&gt;분쇄건조형</t>
    <phoneticPr fontId="2" type="noConversion"/>
  </si>
  <si>
    <t>&lt;=800000</t>
    <phoneticPr fontId="2" type="noConversion"/>
  </si>
  <si>
    <t>싱크대내장형 개수</t>
  </si>
  <si>
    <t>분쇄건조형 개수</t>
  </si>
  <si>
    <t>미생물분해형 개수</t>
  </si>
  <si>
    <t>전체 개수</t>
  </si>
  <si>
    <t>싱크대내장형 평균</t>
  </si>
  <si>
    <t>분쇄건조형 평균</t>
  </si>
  <si>
    <t>미생물분해형 평균</t>
  </si>
  <si>
    <t>전체 평균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</si>
</sst>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.0"/>
    <numFmt numFmtId="177" formatCode="#,##0&quot;원&quot;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굴림"/>
      <family val="3"/>
      <charset val="129"/>
    </font>
    <font>
      <b/>
      <sz val="11"/>
      <color theme="1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auto="1"/>
      </diagonal>
    </border>
    <border diagonalUp="1" diagonalDown="1">
      <left style="thin">
        <color indexed="64"/>
      </left>
      <right style="thin">
        <color indexed="64"/>
      </right>
      <top/>
      <bottom style="medium">
        <color indexed="64"/>
      </bottom>
      <diagonal style="thin">
        <color auto="1"/>
      </diagonal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41" fontId="3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76" fontId="3" fillId="0" borderId="1" xfId="0" applyNumberFormat="1" applyFont="1" applyBorder="1" applyAlignment="1">
      <alignment horizontal="righ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7" fontId="3" fillId="0" borderId="1" xfId="1" applyNumberFormat="1" applyFont="1" applyBorder="1" applyAlignment="1">
      <alignment horizontal="right" vertical="center"/>
    </xf>
    <xf numFmtId="41" fontId="3" fillId="0" borderId="8" xfId="1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4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right" vertical="center"/>
    </xf>
    <xf numFmtId="176" fontId="3" fillId="0" borderId="0" xfId="0" applyNumberFormat="1" applyFont="1" applyBorder="1" applyAlignment="1">
      <alignment horizontal="right" vertical="center"/>
    </xf>
    <xf numFmtId="177" fontId="3" fillId="0" borderId="0" xfId="1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4"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/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pPr>
            <a:r>
              <a:rPr lang="ko-KR" altLang="en-US" sz="2000">
                <a:solidFill>
                  <a:schemeClr val="tx1"/>
                </a:solidFill>
              </a:rPr>
              <a:t>분쇄건조형 및 미생물분해형 음식물 처리기</a:t>
            </a:r>
            <a:endParaRPr lang="ko-KR" sz="2000">
              <a:solidFill>
                <a:schemeClr val="tx1"/>
              </a:solidFill>
            </a:endParaRPr>
          </a:p>
        </c:rich>
      </c:tx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제1작업!$G$4</c:f>
              <c:strCache>
                <c:ptCount val="1"/>
                <c:pt idx="0">
                  <c:v>무게(kg)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617-4614-9F59-AC799F6F52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굴림" panose="020B0600000101010101" pitchFamily="50" charset="-127"/>
                    <a:ea typeface="굴림" panose="020B0600000101010101" pitchFamily="50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(제1작업!$C$5,제1작업!$C$7:$C$9,제1작업!$C$11:$C$12)</c:f>
              <c:strCache>
                <c:ptCount val="6"/>
                <c:pt idx="0">
                  <c:v>키친슬리핏</c:v>
                </c:pt>
                <c:pt idx="1">
                  <c:v>스마트블레드</c:v>
                </c:pt>
                <c:pt idx="2">
                  <c:v>이롭더그레블</c:v>
                </c:pt>
                <c:pt idx="3">
                  <c:v>리쿡알이케이</c:v>
                </c:pt>
                <c:pt idx="4">
                  <c:v>쿠쿠씨에프디</c:v>
                </c:pt>
                <c:pt idx="5">
                  <c:v>린클그래비티</c:v>
                </c:pt>
              </c:strCache>
            </c:strRef>
          </c:cat>
          <c:val>
            <c:numRef>
              <c:f>(제1작업!$G$5,제1작업!$G$7:$G$9,제1작업!$G$11:$G$12)</c:f>
              <c:numCache>
                <c:formatCode>0.0</c:formatCode>
                <c:ptCount val="6"/>
                <c:pt idx="0">
                  <c:v>7.6</c:v>
                </c:pt>
                <c:pt idx="1">
                  <c:v>18.5</c:v>
                </c:pt>
                <c:pt idx="2">
                  <c:v>18</c:v>
                </c:pt>
                <c:pt idx="3">
                  <c:v>7.6</c:v>
                </c:pt>
                <c:pt idx="4">
                  <c:v>13.5</c:v>
                </c:pt>
                <c:pt idx="5">
                  <c:v>11.3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17-4614-9F59-AC799F6F5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4432287"/>
        <c:axId val="1474436863"/>
      </c:barChart>
      <c:lineChart>
        <c:grouping val="standard"/>
        <c:varyColors val="0"/>
        <c:ser>
          <c:idx val="1"/>
          <c:order val="1"/>
          <c:tx>
            <c:v>온라인 최저가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10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(제1작업!$C$5,제1작업!$C$7:$C$9,제1작업!$C$11:$C$12)</c:f>
              <c:strCache>
                <c:ptCount val="6"/>
                <c:pt idx="0">
                  <c:v>키친슬리핏</c:v>
                </c:pt>
                <c:pt idx="1">
                  <c:v>스마트블레드</c:v>
                </c:pt>
                <c:pt idx="2">
                  <c:v>이롭더그레블</c:v>
                </c:pt>
                <c:pt idx="3">
                  <c:v>리쿡알이케이</c:v>
                </c:pt>
                <c:pt idx="4">
                  <c:v>쿠쿠씨에프디</c:v>
                </c:pt>
                <c:pt idx="5">
                  <c:v>린클그래비티</c:v>
                </c:pt>
              </c:strCache>
            </c:strRef>
          </c:cat>
          <c:val>
            <c:numRef>
              <c:f>(제1작업!$H$5,제1작업!$H$7:$H$9,제1작업!$H$11:$H$12)</c:f>
              <c:numCache>
                <c:formatCode>#,##0"원"</c:formatCode>
                <c:ptCount val="6"/>
                <c:pt idx="0">
                  <c:v>316000</c:v>
                </c:pt>
                <c:pt idx="1">
                  <c:v>995000</c:v>
                </c:pt>
                <c:pt idx="2">
                  <c:v>839000</c:v>
                </c:pt>
                <c:pt idx="3">
                  <c:v>330000</c:v>
                </c:pt>
                <c:pt idx="4">
                  <c:v>549900</c:v>
                </c:pt>
                <c:pt idx="5">
                  <c:v>798000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17-4614-9F59-AC799F6F5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2234031"/>
        <c:axId val="1632230703"/>
      </c:lineChart>
      <c:catAx>
        <c:axId val="1474432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pPr>
            <a:endParaRPr lang="ko-KR"/>
          </a:p>
        </c:txPr>
        <c:crossAx val="1474436863"/>
        <c:crosses val="autoZero"/>
        <c:auto val="1"/>
        <c:lblAlgn val="ctr"/>
        <c:lblOffset val="100"/>
        <c:noMultiLvlLbl val="0"/>
      </c:catAx>
      <c:valAx>
        <c:axId val="147443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pPr>
            <a:endParaRPr lang="ko-KR"/>
          </a:p>
        </c:txPr>
        <c:crossAx val="1474432287"/>
        <c:crosses val="autoZero"/>
        <c:crossBetween val="between"/>
      </c:valAx>
      <c:valAx>
        <c:axId val="1632230703"/>
        <c:scaling>
          <c:orientation val="minMax"/>
        </c:scaling>
        <c:delete val="0"/>
        <c:axPos val="r"/>
        <c:numFmt formatCode="#,##0&quot;원&quot;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굴림" panose="020B0600000101010101" pitchFamily="50" charset="-127"/>
                <a:ea typeface="굴림" panose="020B0600000101010101" pitchFamily="50" charset="-127"/>
                <a:cs typeface="+mn-cs"/>
              </a:defRPr>
            </a:pPr>
            <a:endParaRPr lang="ko-KR"/>
          </a:p>
        </c:txPr>
        <c:crossAx val="1632234031"/>
        <c:crosses val="max"/>
        <c:crossBetween val="between"/>
        <c:majorUnit val="300000"/>
      </c:valAx>
      <c:catAx>
        <c:axId val="16322340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32230703"/>
        <c:auto val="1"/>
        <c:lblAlgn val="ctr"/>
        <c:lblOffset val="100"/>
        <c:noMultiLvlLbl val="0"/>
      </c:cat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3"/>
      <a:tile tx="0" ty="0" sx="100000" sy="100000" flip="none" algn="tl"/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굴림" panose="020B0600000101010101" pitchFamily="50" charset="-127"/>
          <a:ea typeface="굴림" panose="020B0600000101010101" pitchFamily="50" charset="-127"/>
        </a:defRPr>
      </a:pPr>
      <a:endParaRPr lang="ko-KR"/>
    </a:p>
  </c:txPr>
  <c:userShapes r:id="rId4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1844575-513E-45B8-870C-FCC969E1B662}">
  <sheetPr/>
  <sheetViews>
    <sheetView tabSelected="1" zoomScale="12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166687</xdr:colOff>
      <xdr:row>0</xdr:row>
      <xdr:rowOff>111126</xdr:rowOff>
    </xdr:from>
    <xdr:to>
      <xdr:col>9</xdr:col>
      <xdr:colOff>692150</xdr:colOff>
      <xdr:row>2</xdr:row>
      <xdr:rowOff>184151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444682D-DC8F-419F-9100-07E55D6A9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0" y="111126"/>
          <a:ext cx="2351088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39688</xdr:colOff>
      <xdr:row>0</xdr:row>
      <xdr:rowOff>63500</xdr:rowOff>
    </xdr:from>
    <xdr:to>
      <xdr:col>6</xdr:col>
      <xdr:colOff>666750</xdr:colOff>
      <xdr:row>2</xdr:row>
      <xdr:rowOff>166688</xdr:rowOff>
    </xdr:to>
    <xdr:sp macro="" textlink="">
      <xdr:nvSpPr>
        <xdr:cNvPr id="5" name="사다리꼴 4">
          <a:extLst>
            <a:ext uri="{FF2B5EF4-FFF2-40B4-BE49-F238E27FC236}">
              <a16:creationId xmlns:a16="http://schemas.microsoft.com/office/drawing/2014/main" id="{B6DE84C8-3853-4684-9CC4-866E378DF68A}"/>
            </a:ext>
          </a:extLst>
        </xdr:cNvPr>
        <xdr:cNvSpPr/>
      </xdr:nvSpPr>
      <xdr:spPr>
        <a:xfrm>
          <a:off x="166688" y="63500"/>
          <a:ext cx="4873625" cy="563563"/>
        </a:xfrm>
        <a:prstGeom prst="trapezoid">
          <a:avLst/>
        </a:prstGeom>
        <a:solidFill>
          <a:srgbClr val="FFFF00"/>
        </a:solidFill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400" b="1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</a:rPr>
            <a:t>음식물 처리기 회원가 현황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80125"/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8DFA95F-678E-4FB0-9774-4A7F3DF2D21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0.08874</cdr:x>
      <cdr:y>0.11749</cdr:y>
    </cdr:from>
    <cdr:to>
      <cdr:x>0.20478</cdr:x>
      <cdr:y>0.18016</cdr:y>
    </cdr:to>
    <cdr:sp macro="" textlink="">
      <cdr:nvSpPr>
        <cdr:cNvPr id="2" name="말풍선: 모서리가 둥근 사각형 1">
          <a:extLst xmlns:a="http://schemas.openxmlformats.org/drawingml/2006/main">
            <a:ext uri="{FF2B5EF4-FFF2-40B4-BE49-F238E27FC236}">
              <a16:creationId xmlns:a16="http://schemas.microsoft.com/office/drawing/2014/main" id="{FD281FC5-5C8B-4F9C-A265-7DCB506331A0}"/>
            </a:ext>
          </a:extLst>
        </cdr:cNvPr>
        <cdr:cNvSpPr/>
      </cdr:nvSpPr>
      <cdr:spPr>
        <a:xfrm xmlns:a="http://schemas.openxmlformats.org/drawingml/2006/main">
          <a:off x="825501" y="714376"/>
          <a:ext cx="1079500" cy="381000"/>
        </a:xfrm>
        <a:prstGeom xmlns:a="http://schemas.openxmlformats.org/drawingml/2006/main" prst="wedgeRoundRectCallout">
          <a:avLst>
            <a:gd name="adj1" fmla="val 75490"/>
            <a:gd name="adj2" fmla="val 0"/>
            <a:gd name="adj3" fmla="val 16667"/>
          </a:avLst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r>
            <a:rPr lang="ko-KR" altLang="en-US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</a:rPr>
            <a:t>최대 무게</a:t>
          </a:r>
          <a:endParaRPr lang="ko-KR">
            <a:solidFill>
              <a:schemeClr val="tx1"/>
            </a:solidFill>
            <a:latin typeface="굴림" panose="020B0600000101010101" pitchFamily="50" charset="-127"/>
            <a:ea typeface="굴림" panose="020B0600000101010101" pitchFamily="50" charset="-127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51340-82D3-4443-8972-08F22B00651D}">
  <dimension ref="B1:J16"/>
  <sheetViews>
    <sheetView zoomScale="120" zoomScaleNormal="120" workbookViewId="0">
      <selection activeCell="E20" sqref="E20"/>
    </sheetView>
  </sheetViews>
  <sheetFormatPr defaultRowHeight="13.5" x14ac:dyDescent="0.3"/>
  <cols>
    <col min="1" max="1" width="1.625" style="1" customWidth="1"/>
    <col min="2" max="2" width="9" style="1"/>
    <col min="3" max="4" width="13" style="1" bestFit="1" customWidth="1"/>
    <col min="5" max="5" width="13.25" style="1" bestFit="1" customWidth="1"/>
    <col min="6" max="7" width="9" style="1"/>
    <col min="8" max="9" width="12" style="1" bestFit="1" customWidth="1"/>
    <col min="10" max="10" width="10.25" style="1" bestFit="1" customWidth="1"/>
    <col min="11" max="16384" width="9" style="1"/>
  </cols>
  <sheetData>
    <row r="1" spans="2:10" ht="18" customHeight="1" x14ac:dyDescent="0.3"/>
    <row r="2" spans="2:10" ht="18" customHeight="1" x14ac:dyDescent="0.3"/>
    <row r="3" spans="2:10" ht="18" customHeight="1" thickBot="1" x14ac:dyDescent="0.35"/>
    <row r="4" spans="2:10" ht="27" x14ac:dyDescent="0.3">
      <c r="B4" s="20" t="s">
        <v>0</v>
      </c>
      <c r="C4" s="21" t="s">
        <v>1</v>
      </c>
      <c r="D4" s="21" t="s">
        <v>2</v>
      </c>
      <c r="E4" s="21" t="s">
        <v>3</v>
      </c>
      <c r="F4" s="22" t="s">
        <v>4</v>
      </c>
      <c r="G4" s="21" t="s">
        <v>5</v>
      </c>
      <c r="H4" s="22" t="s">
        <v>6</v>
      </c>
      <c r="I4" s="21" t="s">
        <v>7</v>
      </c>
      <c r="J4" s="23" t="s">
        <v>8</v>
      </c>
    </row>
    <row r="5" spans="2:10" x14ac:dyDescent="0.3">
      <c r="B5" s="6" t="s">
        <v>9</v>
      </c>
      <c r="C5" s="2" t="s">
        <v>18</v>
      </c>
      <c r="D5" s="2" t="s">
        <v>26</v>
      </c>
      <c r="E5" s="3">
        <v>45689</v>
      </c>
      <c r="F5" s="18">
        <v>550</v>
      </c>
      <c r="G5" s="19">
        <v>7.6</v>
      </c>
      <c r="H5" s="25">
        <v>316000</v>
      </c>
      <c r="I5" s="4" cm="1">
        <f t="array" ref="I5:I12">ROUND(H5:H12*0.95,-3)</f>
        <v>300000</v>
      </c>
      <c r="J5" s="7"/>
    </row>
    <row r="6" spans="2:10" x14ac:dyDescent="0.3">
      <c r="B6" s="6" t="s">
        <v>10</v>
      </c>
      <c r="C6" s="2" t="s">
        <v>19</v>
      </c>
      <c r="D6" s="2" t="s">
        <v>27</v>
      </c>
      <c r="E6" s="3">
        <v>45261</v>
      </c>
      <c r="F6" s="18">
        <v>200</v>
      </c>
      <c r="G6" s="19">
        <v>8.1999999999999993</v>
      </c>
      <c r="H6" s="25">
        <v>899000</v>
      </c>
      <c r="I6" s="4">
        <v>854000</v>
      </c>
      <c r="J6" s="7"/>
    </row>
    <row r="7" spans="2:10" x14ac:dyDescent="0.3">
      <c r="B7" s="6" t="s">
        <v>11</v>
      </c>
      <c r="C7" s="2" t="s">
        <v>20</v>
      </c>
      <c r="D7" s="2" t="s">
        <v>26</v>
      </c>
      <c r="E7" s="3">
        <v>45413</v>
      </c>
      <c r="F7" s="18">
        <v>1000</v>
      </c>
      <c r="G7" s="19">
        <v>18.5</v>
      </c>
      <c r="H7" s="25">
        <v>995000</v>
      </c>
      <c r="I7" s="4">
        <v>945000</v>
      </c>
      <c r="J7" s="7"/>
    </row>
    <row r="8" spans="2:10" x14ac:dyDescent="0.3">
      <c r="B8" s="6" t="s">
        <v>12</v>
      </c>
      <c r="C8" s="2" t="s">
        <v>21</v>
      </c>
      <c r="D8" s="2" t="s">
        <v>28</v>
      </c>
      <c r="E8" s="3">
        <v>45566</v>
      </c>
      <c r="F8" s="18">
        <v>60</v>
      </c>
      <c r="G8" s="19">
        <v>18</v>
      </c>
      <c r="H8" s="25">
        <v>839000</v>
      </c>
      <c r="I8" s="4">
        <v>797000</v>
      </c>
      <c r="J8" s="7"/>
    </row>
    <row r="9" spans="2:10" x14ac:dyDescent="0.3">
      <c r="B9" s="6" t="s">
        <v>13</v>
      </c>
      <c r="C9" s="2" t="s">
        <v>22</v>
      </c>
      <c r="D9" s="2" t="s">
        <v>26</v>
      </c>
      <c r="E9" s="3">
        <v>45597</v>
      </c>
      <c r="F9" s="18">
        <v>550</v>
      </c>
      <c r="G9" s="19">
        <v>7.6</v>
      </c>
      <c r="H9" s="25">
        <v>330000</v>
      </c>
      <c r="I9" s="4">
        <v>314000</v>
      </c>
      <c r="J9" s="7"/>
    </row>
    <row r="10" spans="2:10" x14ac:dyDescent="0.3">
      <c r="B10" s="6" t="s">
        <v>14</v>
      </c>
      <c r="C10" s="2" t="s">
        <v>23</v>
      </c>
      <c r="D10" s="2" t="s">
        <v>27</v>
      </c>
      <c r="E10" s="3">
        <v>45352</v>
      </c>
      <c r="F10" s="18">
        <v>30</v>
      </c>
      <c r="G10" s="19">
        <v>3.2</v>
      </c>
      <c r="H10" s="25">
        <v>1100000</v>
      </c>
      <c r="I10" s="4">
        <v>1045000</v>
      </c>
      <c r="J10" s="7"/>
    </row>
    <row r="11" spans="2:10" x14ac:dyDescent="0.3">
      <c r="B11" s="6" t="s">
        <v>15</v>
      </c>
      <c r="C11" s="2" t="s">
        <v>24</v>
      </c>
      <c r="D11" s="2" t="s">
        <v>28</v>
      </c>
      <c r="E11" s="3">
        <v>45474</v>
      </c>
      <c r="F11" s="18">
        <v>130</v>
      </c>
      <c r="G11" s="19">
        <v>13.5</v>
      </c>
      <c r="H11" s="25">
        <v>549900</v>
      </c>
      <c r="I11" s="4">
        <v>522000</v>
      </c>
      <c r="J11" s="7"/>
    </row>
    <row r="12" spans="2:10" x14ac:dyDescent="0.3">
      <c r="B12" s="6" t="s">
        <v>16</v>
      </c>
      <c r="C12" s="2" t="s">
        <v>25</v>
      </c>
      <c r="D12" s="2" t="s">
        <v>28</v>
      </c>
      <c r="E12" s="3">
        <v>45658</v>
      </c>
      <c r="F12" s="18">
        <v>95</v>
      </c>
      <c r="G12" s="19">
        <v>11.3</v>
      </c>
      <c r="H12" s="25">
        <v>798000</v>
      </c>
      <c r="I12" s="4">
        <v>758000</v>
      </c>
      <c r="J12" s="7"/>
    </row>
    <row r="13" spans="2:10" x14ac:dyDescent="0.3">
      <c r="B13" s="11" t="s">
        <v>29</v>
      </c>
      <c r="C13" s="12"/>
      <c r="D13" s="10"/>
      <c r="E13" s="2"/>
      <c r="F13" s="16"/>
      <c r="G13" s="9" t="s">
        <v>31</v>
      </c>
      <c r="H13" s="12"/>
      <c r="I13" s="10"/>
      <c r="J13" s="7">
        <f>COUNTIF(G5:G12,"&lt;=10")</f>
        <v>4</v>
      </c>
    </row>
    <row r="14" spans="2:10" ht="17.25" customHeight="1" thickBot="1" x14ac:dyDescent="0.35">
      <c r="B14" s="13" t="s">
        <v>30</v>
      </c>
      <c r="C14" s="14"/>
      <c r="D14" s="15"/>
      <c r="E14" s="8">
        <f>DMAX(B4:H12,5,F4:F5)</f>
        <v>550</v>
      </c>
      <c r="F14" s="17"/>
      <c r="G14" s="24" t="s">
        <v>1</v>
      </c>
      <c r="H14" s="8" t="s">
        <v>17</v>
      </c>
      <c r="I14" s="24" t="s">
        <v>5</v>
      </c>
      <c r="J14" s="26">
        <f>VLOOKUP(H14,C4:H12,6,FALSE)</f>
        <v>316000</v>
      </c>
    </row>
    <row r="16" spans="2:10" ht="13.5" customHeight="1" x14ac:dyDescent="0.3"/>
  </sheetData>
  <mergeCells count="4">
    <mergeCell ref="B14:D14"/>
    <mergeCell ref="G13:I13"/>
    <mergeCell ref="F13:F14"/>
    <mergeCell ref="B13:D13"/>
  </mergeCells>
  <phoneticPr fontId="2" type="noConversion"/>
  <conditionalFormatting sqref="B5:J12">
    <cfRule type="expression" dxfId="3" priority="1">
      <formula>$G5&gt;=10</formula>
    </cfRule>
  </conditionalFormatting>
  <dataValidations count="1">
    <dataValidation type="list" allowBlank="1" showInputMessage="1" showErrorMessage="1" sqref="H14" xr:uid="{1D4B6B78-0735-463C-BF51-0CA48F2D113D}">
      <formula1>$C$5:$C$12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82597-0B07-47CE-B4EB-A57AA0046C21}">
  <dimension ref="B1:H20"/>
  <sheetViews>
    <sheetView zoomScale="130" zoomScaleNormal="130" workbookViewId="0">
      <selection activeCell="B2" sqref="B2:H10"/>
    </sheetView>
  </sheetViews>
  <sheetFormatPr defaultRowHeight="13.5" x14ac:dyDescent="0.3"/>
  <cols>
    <col min="1" max="1" width="1.625" style="1" customWidth="1"/>
    <col min="2" max="2" width="13.75" style="1" bestFit="1" customWidth="1"/>
    <col min="3" max="4" width="14.125" style="1" bestFit="1" customWidth="1"/>
    <col min="5" max="5" width="13.25" style="1" bestFit="1" customWidth="1"/>
    <col min="6" max="7" width="9" style="1"/>
    <col min="8" max="8" width="11.75" style="1" bestFit="1" customWidth="1"/>
    <col min="9" max="16384" width="9" style="1"/>
  </cols>
  <sheetData>
    <row r="1" spans="2:8" ht="14.25" thickBot="1" x14ac:dyDescent="0.35"/>
    <row r="2" spans="2:8" ht="27" x14ac:dyDescent="0.3">
      <c r="B2" s="20" t="s">
        <v>0</v>
      </c>
      <c r="C2" s="21" t="s">
        <v>1</v>
      </c>
      <c r="D2" s="21" t="s">
        <v>2</v>
      </c>
      <c r="E2" s="21" t="s">
        <v>3</v>
      </c>
      <c r="F2" s="22" t="s">
        <v>4</v>
      </c>
      <c r="G2" s="21" t="s">
        <v>5</v>
      </c>
      <c r="H2" s="22" t="s">
        <v>6</v>
      </c>
    </row>
    <row r="3" spans="2:8" x14ac:dyDescent="0.3">
      <c r="B3" s="6" t="s">
        <v>9</v>
      </c>
      <c r="C3" s="2" t="s">
        <v>18</v>
      </c>
      <c r="D3" s="2" t="s">
        <v>26</v>
      </c>
      <c r="E3" s="3">
        <v>45689</v>
      </c>
      <c r="F3" s="18">
        <v>550</v>
      </c>
      <c r="G3" s="19">
        <v>10</v>
      </c>
      <c r="H3" s="25">
        <v>316000</v>
      </c>
    </row>
    <row r="4" spans="2:8" x14ac:dyDescent="0.3">
      <c r="B4" s="6" t="s">
        <v>10</v>
      </c>
      <c r="C4" s="2" t="s">
        <v>19</v>
      </c>
      <c r="D4" s="2" t="s">
        <v>27</v>
      </c>
      <c r="E4" s="3">
        <v>45261</v>
      </c>
      <c r="F4" s="18">
        <v>200</v>
      </c>
      <c r="G4" s="19">
        <v>8.1999999999999993</v>
      </c>
      <c r="H4" s="25">
        <v>899000</v>
      </c>
    </row>
    <row r="5" spans="2:8" x14ac:dyDescent="0.3">
      <c r="B5" s="6" t="s">
        <v>11</v>
      </c>
      <c r="C5" s="2" t="s">
        <v>20</v>
      </c>
      <c r="D5" s="2" t="s">
        <v>26</v>
      </c>
      <c r="E5" s="3">
        <v>45413</v>
      </c>
      <c r="F5" s="18">
        <v>1000</v>
      </c>
      <c r="G5" s="19">
        <v>18.5</v>
      </c>
      <c r="H5" s="25">
        <v>995000</v>
      </c>
    </row>
    <row r="6" spans="2:8" x14ac:dyDescent="0.3">
      <c r="B6" s="6" t="s">
        <v>12</v>
      </c>
      <c r="C6" s="2" t="s">
        <v>21</v>
      </c>
      <c r="D6" s="2" t="s">
        <v>28</v>
      </c>
      <c r="E6" s="3">
        <v>45566</v>
      </c>
      <c r="F6" s="18">
        <v>60</v>
      </c>
      <c r="G6" s="19">
        <v>18</v>
      </c>
      <c r="H6" s="25">
        <v>839000</v>
      </c>
    </row>
    <row r="7" spans="2:8" x14ac:dyDescent="0.3">
      <c r="B7" s="6" t="s">
        <v>13</v>
      </c>
      <c r="C7" s="2" t="s">
        <v>22</v>
      </c>
      <c r="D7" s="2" t="s">
        <v>26</v>
      </c>
      <c r="E7" s="3">
        <v>45597</v>
      </c>
      <c r="F7" s="18">
        <v>550</v>
      </c>
      <c r="G7" s="19">
        <v>7.6</v>
      </c>
      <c r="H7" s="25">
        <v>330000</v>
      </c>
    </row>
    <row r="8" spans="2:8" x14ac:dyDescent="0.3">
      <c r="B8" s="6" t="s">
        <v>14</v>
      </c>
      <c r="C8" s="2" t="s">
        <v>23</v>
      </c>
      <c r="D8" s="2" t="s">
        <v>27</v>
      </c>
      <c r="E8" s="3">
        <v>45352</v>
      </c>
      <c r="F8" s="18">
        <v>30</v>
      </c>
      <c r="G8" s="19">
        <v>3.2</v>
      </c>
      <c r="H8" s="25">
        <v>1100000</v>
      </c>
    </row>
    <row r="9" spans="2:8" x14ac:dyDescent="0.3">
      <c r="B9" s="6" t="s">
        <v>15</v>
      </c>
      <c r="C9" s="2" t="s">
        <v>24</v>
      </c>
      <c r="D9" s="2" t="s">
        <v>28</v>
      </c>
      <c r="E9" s="3">
        <v>45474</v>
      </c>
      <c r="F9" s="18">
        <v>130</v>
      </c>
      <c r="G9" s="19">
        <v>13.5</v>
      </c>
      <c r="H9" s="25">
        <v>549900</v>
      </c>
    </row>
    <row r="10" spans="2:8" x14ac:dyDescent="0.3">
      <c r="B10" s="6" t="s">
        <v>16</v>
      </c>
      <c r="C10" s="2" t="s">
        <v>25</v>
      </c>
      <c r="D10" s="2" t="s">
        <v>28</v>
      </c>
      <c r="E10" s="3">
        <v>45658</v>
      </c>
      <c r="F10" s="18">
        <v>95</v>
      </c>
      <c r="G10" s="19">
        <v>11.3</v>
      </c>
      <c r="H10" s="25">
        <v>798000</v>
      </c>
    </row>
    <row r="11" spans="2:8" x14ac:dyDescent="0.3">
      <c r="B11" s="5" t="s">
        <v>32</v>
      </c>
      <c r="C11" s="5"/>
      <c r="D11" s="5"/>
      <c r="E11" s="5"/>
      <c r="F11" s="5"/>
      <c r="G11" s="5"/>
      <c r="H11" s="27">
        <f>DAVERAGE(B2:H10,6,G2:G3)</f>
        <v>10</v>
      </c>
    </row>
    <row r="13" spans="2:8" ht="14.25" thickBot="1" x14ac:dyDescent="0.35"/>
    <row r="14" spans="2:8" ht="27" x14ac:dyDescent="0.3">
      <c r="B14" s="21" t="s">
        <v>2</v>
      </c>
      <c r="C14" s="22" t="s">
        <v>6</v>
      </c>
    </row>
    <row r="15" spans="2:8" x14ac:dyDescent="0.3">
      <c r="B15" s="2" t="s">
        <v>33</v>
      </c>
      <c r="C15" s="1" t="s">
        <v>34</v>
      </c>
    </row>
    <row r="17" spans="2:5" ht="14.25" thickBot="1" x14ac:dyDescent="0.35"/>
    <row r="18" spans="2:5" ht="27" x14ac:dyDescent="0.3">
      <c r="B18" s="21" t="s">
        <v>1</v>
      </c>
      <c r="C18" s="21" t="s">
        <v>3</v>
      </c>
      <c r="D18" s="22" t="s">
        <v>4</v>
      </c>
      <c r="E18" s="22" t="s">
        <v>6</v>
      </c>
    </row>
    <row r="19" spans="2:5" x14ac:dyDescent="0.3">
      <c r="B19" s="2" t="s">
        <v>24</v>
      </c>
      <c r="C19" s="3">
        <v>45474</v>
      </c>
      <c r="D19" s="18">
        <v>130</v>
      </c>
      <c r="E19" s="25">
        <v>549900</v>
      </c>
    </row>
    <row r="20" spans="2:5" x14ac:dyDescent="0.3">
      <c r="B20" s="2" t="s">
        <v>25</v>
      </c>
      <c r="C20" s="3">
        <v>45658</v>
      </c>
      <c r="D20" s="18">
        <v>95</v>
      </c>
      <c r="E20" s="25">
        <v>798000</v>
      </c>
    </row>
  </sheetData>
  <mergeCells count="1">
    <mergeCell ref="B11:G11"/>
  </mergeCells>
  <phoneticPr fontId="2" type="noConversion"/>
  <conditionalFormatting sqref="B3:H10">
    <cfRule type="expression" dxfId="2" priority="2">
      <formula>$G3&gt;=10</formula>
    </cfRule>
  </conditionalFormatting>
  <conditionalFormatting sqref="B15">
    <cfRule type="expression" dxfId="1" priority="1">
      <formula>$G15&gt;=10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BEFDB-639D-4511-BA60-7531383EA380}">
  <dimension ref="B1:H18"/>
  <sheetViews>
    <sheetView zoomScale="120" zoomScaleNormal="120" workbookViewId="0">
      <selection activeCell="B2" sqref="B2:H18"/>
    </sheetView>
  </sheetViews>
  <sheetFormatPr defaultRowHeight="13.5" x14ac:dyDescent="0.3"/>
  <cols>
    <col min="1" max="1" width="1.625" style="1" customWidth="1"/>
    <col min="2" max="2" width="9.5" style="1" bestFit="1" customWidth="1"/>
    <col min="3" max="3" width="14.125" style="1" bestFit="1" customWidth="1"/>
    <col min="4" max="4" width="19.375" style="1" bestFit="1" customWidth="1"/>
    <col min="5" max="5" width="13.25" style="1" bestFit="1" customWidth="1"/>
    <col min="6" max="7" width="9" style="1"/>
    <col min="8" max="8" width="11.75" style="1" bestFit="1" customWidth="1"/>
    <col min="9" max="16384" width="9" style="1"/>
  </cols>
  <sheetData>
    <row r="1" spans="2:8" ht="14.25" thickBot="1" x14ac:dyDescent="0.35"/>
    <row r="2" spans="2:8" ht="27" x14ac:dyDescent="0.3">
      <c r="B2" s="20" t="s">
        <v>0</v>
      </c>
      <c r="C2" s="21" t="s">
        <v>1</v>
      </c>
      <c r="D2" s="21" t="s">
        <v>2</v>
      </c>
      <c r="E2" s="21" t="s">
        <v>3</v>
      </c>
      <c r="F2" s="22" t="s">
        <v>4</v>
      </c>
      <c r="G2" s="21" t="s">
        <v>5</v>
      </c>
      <c r="H2" s="22" t="s">
        <v>6</v>
      </c>
    </row>
    <row r="3" spans="2:8" x14ac:dyDescent="0.3">
      <c r="B3" s="6" t="s">
        <v>10</v>
      </c>
      <c r="C3" s="2" t="s">
        <v>19</v>
      </c>
      <c r="D3" s="2" t="s">
        <v>27</v>
      </c>
      <c r="E3" s="3">
        <v>45261</v>
      </c>
      <c r="F3" s="18">
        <v>200</v>
      </c>
      <c r="G3" s="19">
        <v>8.1999999999999993</v>
      </c>
      <c r="H3" s="25">
        <v>899000</v>
      </c>
    </row>
    <row r="4" spans="2:8" x14ac:dyDescent="0.3">
      <c r="B4" s="6" t="s">
        <v>14</v>
      </c>
      <c r="C4" s="2" t="s">
        <v>23</v>
      </c>
      <c r="D4" s="2" t="s">
        <v>27</v>
      </c>
      <c r="E4" s="3">
        <v>45352</v>
      </c>
      <c r="F4" s="18">
        <v>30</v>
      </c>
      <c r="G4" s="19">
        <v>3.2</v>
      </c>
      <c r="H4" s="25">
        <v>1100000</v>
      </c>
    </row>
    <row r="5" spans="2:8" x14ac:dyDescent="0.3">
      <c r="B5" s="6"/>
      <c r="C5" s="2"/>
      <c r="D5" s="28" t="s">
        <v>39</v>
      </c>
      <c r="E5" s="3"/>
      <c r="F5" s="18"/>
      <c r="G5" s="19"/>
      <c r="H5" s="25">
        <f>SUBTOTAL(1,H3:H4)</f>
        <v>999500</v>
      </c>
    </row>
    <row r="6" spans="2:8" x14ac:dyDescent="0.3">
      <c r="B6" s="6"/>
      <c r="C6" s="2">
        <f>SUBTOTAL(3,C3:C4)</f>
        <v>2</v>
      </c>
      <c r="D6" s="28" t="s">
        <v>35</v>
      </c>
      <c r="E6" s="3"/>
      <c r="F6" s="18"/>
      <c r="G6" s="19"/>
      <c r="H6" s="25"/>
    </row>
    <row r="7" spans="2:8" x14ac:dyDescent="0.3">
      <c r="B7" s="6" t="s">
        <v>9</v>
      </c>
      <c r="C7" s="2" t="s">
        <v>18</v>
      </c>
      <c r="D7" s="2" t="s">
        <v>26</v>
      </c>
      <c r="E7" s="3">
        <v>45689</v>
      </c>
      <c r="F7" s="18">
        <v>550</v>
      </c>
      <c r="G7" s="19">
        <v>7.6</v>
      </c>
      <c r="H7" s="25">
        <v>316000</v>
      </c>
    </row>
    <row r="8" spans="2:8" x14ac:dyDescent="0.3">
      <c r="B8" s="6" t="s">
        <v>11</v>
      </c>
      <c r="C8" s="2" t="s">
        <v>20</v>
      </c>
      <c r="D8" s="2" t="s">
        <v>26</v>
      </c>
      <c r="E8" s="3">
        <v>45413</v>
      </c>
      <c r="F8" s="18">
        <v>1000</v>
      </c>
      <c r="G8" s="19">
        <v>18.5</v>
      </c>
      <c r="H8" s="25">
        <v>995000</v>
      </c>
    </row>
    <row r="9" spans="2:8" x14ac:dyDescent="0.3">
      <c r="B9" s="6" t="s">
        <v>13</v>
      </c>
      <c r="C9" s="2" t="s">
        <v>22</v>
      </c>
      <c r="D9" s="2" t="s">
        <v>26</v>
      </c>
      <c r="E9" s="3">
        <v>45597</v>
      </c>
      <c r="F9" s="18">
        <v>550</v>
      </c>
      <c r="G9" s="19">
        <v>7.6</v>
      </c>
      <c r="H9" s="25">
        <v>330000</v>
      </c>
    </row>
    <row r="10" spans="2:8" x14ac:dyDescent="0.3">
      <c r="B10" s="6"/>
      <c r="C10" s="2"/>
      <c r="D10" s="28" t="s">
        <v>40</v>
      </c>
      <c r="E10" s="3"/>
      <c r="F10" s="18"/>
      <c r="G10" s="19"/>
      <c r="H10" s="25">
        <f>SUBTOTAL(1,H7:H9)</f>
        <v>547000</v>
      </c>
    </row>
    <row r="11" spans="2:8" x14ac:dyDescent="0.3">
      <c r="B11" s="6"/>
      <c r="C11" s="2">
        <f>SUBTOTAL(3,C7:C9)</f>
        <v>3</v>
      </c>
      <c r="D11" s="28" t="s">
        <v>36</v>
      </c>
      <c r="E11" s="3"/>
      <c r="F11" s="18"/>
      <c r="G11" s="19"/>
      <c r="H11" s="25"/>
    </row>
    <row r="12" spans="2:8" x14ac:dyDescent="0.3">
      <c r="B12" s="6" t="s">
        <v>12</v>
      </c>
      <c r="C12" s="2" t="s">
        <v>21</v>
      </c>
      <c r="D12" s="2" t="s">
        <v>28</v>
      </c>
      <c r="E12" s="3">
        <v>45566</v>
      </c>
      <c r="F12" s="18">
        <v>60</v>
      </c>
      <c r="G12" s="19">
        <v>18</v>
      </c>
      <c r="H12" s="25">
        <v>839000</v>
      </c>
    </row>
    <row r="13" spans="2:8" x14ac:dyDescent="0.3">
      <c r="B13" s="6" t="s">
        <v>15</v>
      </c>
      <c r="C13" s="2" t="s">
        <v>24</v>
      </c>
      <c r="D13" s="2" t="s">
        <v>28</v>
      </c>
      <c r="E13" s="3">
        <v>45474</v>
      </c>
      <c r="F13" s="18">
        <v>130</v>
      </c>
      <c r="G13" s="19">
        <v>13.5</v>
      </c>
      <c r="H13" s="25">
        <v>549900</v>
      </c>
    </row>
    <row r="14" spans="2:8" x14ac:dyDescent="0.3">
      <c r="B14" s="6" t="s">
        <v>16</v>
      </c>
      <c r="C14" s="2" t="s">
        <v>25</v>
      </c>
      <c r="D14" s="2" t="s">
        <v>28</v>
      </c>
      <c r="E14" s="3">
        <v>45658</v>
      </c>
      <c r="F14" s="18">
        <v>95</v>
      </c>
      <c r="G14" s="19">
        <v>11.3</v>
      </c>
      <c r="H14" s="25">
        <v>798000</v>
      </c>
    </row>
    <row r="15" spans="2:8" x14ac:dyDescent="0.3">
      <c r="B15" s="29"/>
      <c r="C15" s="29"/>
      <c r="D15" s="34" t="s">
        <v>41</v>
      </c>
      <c r="E15" s="30"/>
      <c r="F15" s="31"/>
      <c r="G15" s="32"/>
      <c r="H15" s="33">
        <f>SUBTOTAL(1,H12:H14)</f>
        <v>728966.66666666663</v>
      </c>
    </row>
    <row r="16" spans="2:8" x14ac:dyDescent="0.3">
      <c r="B16" s="29"/>
      <c r="C16" s="29">
        <f>SUBTOTAL(3,C12:C14)</f>
        <v>3</v>
      </c>
      <c r="D16" s="34" t="s">
        <v>37</v>
      </c>
      <c r="E16" s="30"/>
      <c r="F16" s="31"/>
      <c r="G16" s="32"/>
      <c r="H16" s="33"/>
    </row>
    <row r="17" spans="2:8" x14ac:dyDescent="0.3">
      <c r="B17" s="29"/>
      <c r="C17" s="29"/>
      <c r="D17" s="34" t="s">
        <v>42</v>
      </c>
      <c r="E17" s="30"/>
      <c r="F17" s="31"/>
      <c r="G17" s="32"/>
      <c r="H17" s="33">
        <f>SUBTOTAL(1,H3:H14)</f>
        <v>728362.5</v>
      </c>
    </row>
    <row r="18" spans="2:8" x14ac:dyDescent="0.3">
      <c r="B18" s="29"/>
      <c r="C18" s="29">
        <f>SUBTOTAL(3,C3:C14)</f>
        <v>8</v>
      </c>
      <c r="D18" s="34" t="s">
        <v>38</v>
      </c>
      <c r="E18" s="30"/>
      <c r="F18" s="31"/>
      <c r="G18" s="32"/>
      <c r="H18" s="33"/>
    </row>
  </sheetData>
  <sortState xmlns:xlrd2="http://schemas.microsoft.com/office/spreadsheetml/2017/richdata2" ref="B3:H14">
    <sortCondition descending="1" ref="D3:D14"/>
  </sortState>
  <phoneticPr fontId="2" type="noConversion"/>
  <conditionalFormatting sqref="B3:H18">
    <cfRule type="expression" dxfId="0" priority="1">
      <formula>$G3&gt;=10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워크시트</vt:lpstr>
      </vt:variant>
      <vt:variant>
        <vt:i4>3</vt:i4>
      </vt:variant>
      <vt:variant>
        <vt:lpstr>차트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제1작업</vt:lpstr>
      <vt:lpstr>제2작업</vt:lpstr>
      <vt:lpstr>제3작업</vt:lpstr>
      <vt:lpstr>제4작업</vt:lpstr>
      <vt:lpstr>제2작업!Criteria</vt:lpstr>
      <vt:lpstr>제2작업!Extract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kopo</dc:creator>
  <cp:lastModifiedBy>kopo</cp:lastModifiedBy>
  <dcterms:created xsi:type="dcterms:W3CDTF">2026-03-30T23:13:09Z</dcterms:created>
  <dcterms:modified xsi:type="dcterms:W3CDTF">2026-03-31T00:05:17Z</dcterms:modified>
</cp:coreProperties>
</file>